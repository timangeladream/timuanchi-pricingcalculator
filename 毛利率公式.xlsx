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市集和網拍\提姆安琪TimuAnchi\文件檔\價格\"/>
    </mc:Choice>
  </mc:AlternateContent>
  <xr:revisionPtr revIDLastSave="0" documentId="8_{8A4D5758-0E3B-4889-AA74-364B165B54D7}" xr6:coauthVersionLast="47" xr6:coauthVersionMax="47" xr10:uidLastSave="{00000000-0000-0000-0000-000000000000}"/>
  <bookViews>
    <workbookView xWindow="-110" yWindow="-110" windowWidth="38620" windowHeight="21820" xr2:uid="{FDCD7C4C-B4C3-4998-9837-CB84B43F64E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" l="1"/>
  <c r="M7" i="1" s="1"/>
  <c r="L5" i="1"/>
  <c r="M5" i="1" s="1"/>
  <c r="L3" i="1"/>
  <c r="M3" i="1" s="1"/>
  <c r="S3" i="1" l="1"/>
  <c r="T3" i="1" s="1"/>
  <c r="O3" i="1"/>
  <c r="S5" i="1"/>
  <c r="T5" i="1" s="1"/>
  <c r="O5" i="1"/>
  <c r="S7" i="1"/>
  <c r="T7" i="1" s="1"/>
  <c r="O7" i="1"/>
  <c r="AB7" i="1" l="1"/>
  <c r="U7" i="1"/>
  <c r="U5" i="1"/>
  <c r="AB5" i="1"/>
  <c r="AB3" i="1"/>
  <c r="U3" i="1"/>
  <c r="AM7" i="1" l="1"/>
  <c r="AI7" i="1"/>
  <c r="AQ7" i="1"/>
  <c r="AJ7" i="1"/>
  <c r="AJ3" i="1"/>
  <c r="AI3" i="1"/>
  <c r="AQ3" i="1"/>
  <c r="AM3" i="1"/>
  <c r="AM5" i="1"/>
  <c r="AQ5" i="1"/>
  <c r="AI5" i="1"/>
  <c r="AJ5" i="1"/>
  <c r="AO5" i="1" l="1"/>
  <c r="AN5" i="1"/>
  <c r="AK5" i="1"/>
  <c r="AL5" i="1" s="1"/>
  <c r="AR5" i="1"/>
  <c r="AP5" i="1"/>
  <c r="AR3" i="1"/>
  <c r="AK3" i="1"/>
  <c r="AL3" i="1" s="1"/>
  <c r="AP3" i="1"/>
  <c r="AO3" i="1"/>
  <c r="AN3" i="1"/>
  <c r="AR7" i="1"/>
  <c r="AP7" i="1"/>
  <c r="AO7" i="1"/>
  <c r="AN7" i="1"/>
  <c r="AK7" i="1"/>
  <c r="AL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yun</author>
  </authors>
  <commentList>
    <comment ref="V2" authorId="0" shapeId="0" xr:uid="{7EA8F08A-5BA6-4AF2-8BF8-2BCD91EE76F7}">
      <text>
        <r>
          <rPr>
            <b/>
            <sz val="10"/>
            <color indexed="81"/>
            <rFont val="Microsoft JhengHei UI"/>
            <family val="2"/>
            <charset val="136"/>
          </rPr>
          <t>ShopStore官網每月390元，抽成2%
EasyStore標準版每月1399元 or 2499元
EasyStore商務版每月2799元 or 4999元
EasyStore成長版每月5399元 or 8999元
EasyStore全能版每月6999元 or 11999元</t>
        </r>
      </text>
    </comment>
  </commentList>
</comments>
</file>

<file path=xl/sharedStrings.xml><?xml version="1.0" encoding="utf-8"?>
<sst xmlns="http://schemas.openxmlformats.org/spreadsheetml/2006/main" count="45" uniqueCount="43">
  <si>
    <t>定價公式</t>
    <phoneticPr fontId="3" type="noConversion"/>
  </si>
  <si>
    <t>年分</t>
  </si>
  <si>
    <t>進貨商</t>
    <phoneticPr fontId="3" type="noConversion"/>
  </si>
  <si>
    <t>品牌</t>
    <phoneticPr fontId="3" type="noConversion"/>
  </si>
  <si>
    <t>原始組合</t>
    <phoneticPr fontId="3" type="noConversion"/>
  </si>
  <si>
    <t>名稱</t>
  </si>
  <si>
    <t>材質</t>
  </si>
  <si>
    <t>類型</t>
  </si>
  <si>
    <t>重量g</t>
  </si>
  <si>
    <t>尺寸</t>
  </si>
  <si>
    <t>系列</t>
    <phoneticPr fontId="3" type="noConversion"/>
  </si>
  <si>
    <t>人民幣</t>
  </si>
  <si>
    <r>
      <t xml:space="preserve">台幣
</t>
    </r>
    <r>
      <rPr>
        <sz val="12"/>
        <color theme="0"/>
        <rFont val="微軟正黑體"/>
        <family val="2"/>
        <charset val="136"/>
      </rPr>
      <t>(匯率5)</t>
    </r>
    <phoneticPr fontId="3" type="noConversion"/>
  </si>
  <si>
    <t>進價</t>
  </si>
  <si>
    <t>初始
數量</t>
  </si>
  <si>
    <t>進貨
小計</t>
    <phoneticPr fontId="3" type="noConversion"/>
  </si>
  <si>
    <t>倍數</t>
    <phoneticPr fontId="3" type="noConversion"/>
  </si>
  <si>
    <t>包裝
成本</t>
    <phoneticPr fontId="3" type="noConversion"/>
  </si>
  <si>
    <t>商品
成本</t>
    <phoneticPr fontId="3" type="noConversion"/>
  </si>
  <si>
    <t>預期
售價</t>
    <phoneticPr fontId="3" type="noConversion"/>
  </si>
  <si>
    <t>毛利率</t>
    <phoneticPr fontId="3" type="noConversion"/>
  </si>
  <si>
    <t>官網
成本</t>
    <phoneticPr fontId="3" type="noConversion"/>
  </si>
  <si>
    <t>物流
成本</t>
    <phoneticPr fontId="3" type="noConversion"/>
  </si>
  <si>
    <t>改夾
成本</t>
    <phoneticPr fontId="3" type="noConversion"/>
  </si>
  <si>
    <t>折扣成本</t>
    <phoneticPr fontId="3" type="noConversion"/>
  </si>
  <si>
    <t>擺攤
成本</t>
    <phoneticPr fontId="3" type="noConversion"/>
  </si>
  <si>
    <t>設計
成本</t>
    <phoneticPr fontId="3" type="noConversion"/>
  </si>
  <si>
    <t>期後
售價</t>
    <phoneticPr fontId="3" type="noConversion"/>
  </si>
  <si>
    <t>官網
手續費2%</t>
    <phoneticPr fontId="3" type="noConversion"/>
  </si>
  <si>
    <t>官網
回饋金2%</t>
    <phoneticPr fontId="3" type="noConversion"/>
  </si>
  <si>
    <t>金流費
3%</t>
    <phoneticPr fontId="3" type="noConversion"/>
  </si>
  <si>
    <t>物流費
3%</t>
    <phoneticPr fontId="3" type="noConversion"/>
  </si>
  <si>
    <t>營業稅
5%</t>
    <phoneticPr fontId="3" type="noConversion"/>
  </si>
  <si>
    <t>寄櫃
50%</t>
    <phoneticPr fontId="3" type="noConversion"/>
  </si>
  <si>
    <t>手續費</t>
    <phoneticPr fontId="3" type="noConversion"/>
  </si>
  <si>
    <t>稅後
售價</t>
    <phoneticPr fontId="3" type="noConversion"/>
  </si>
  <si>
    <t>一般
售價</t>
    <phoneticPr fontId="3" type="noConversion"/>
  </si>
  <si>
    <t>一般售價
手續費</t>
    <phoneticPr fontId="3" type="noConversion"/>
  </si>
  <si>
    <t>寄櫃
售價</t>
    <phoneticPr fontId="3" type="noConversion"/>
  </si>
  <si>
    <t>未扣除
成本的淨利</t>
    <phoneticPr fontId="3" type="noConversion"/>
  </si>
  <si>
    <t>稅後
售價差</t>
    <phoneticPr fontId="3" type="noConversion"/>
  </si>
  <si>
    <t>扣除各
成本的淨利</t>
    <phoneticPr fontId="3" type="noConversion"/>
  </si>
  <si>
    <t>2025年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</si>
</sst>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8" formatCode="0.00_ "/>
    <numFmt numFmtId="179" formatCode="0_ "/>
  </numFmts>
  <fonts count="10">
    <font>
      <sz val="12"/>
      <color theme="1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48"/>
      <color rgb="FF00000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3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theme="0"/>
      <name val="微軟正黑體"/>
      <family val="2"/>
      <charset val="136"/>
    </font>
    <font>
      <b/>
      <sz val="10"/>
      <color indexed="81"/>
      <name val="Microsoft JhengHei UI"/>
      <family val="2"/>
      <charset val="136"/>
    </font>
    <font>
      <sz val="12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/>
      <bottom style="double">
        <color auto="1"/>
      </bottom>
      <diagonal/>
    </border>
    <border>
      <left style="thin">
        <color theme="0"/>
      </left>
      <right style="thin">
        <color theme="0"/>
      </right>
      <top/>
      <bottom style="double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2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2" borderId="1" xfId="0" applyFont="1" applyFill="1" applyBorder="1" applyAlignment="1">
      <alignment horizontal="centerContinuous" vertical="center"/>
    </xf>
    <xf numFmtId="0" fontId="4" fillId="2" borderId="2" xfId="0" applyFont="1" applyFill="1" applyBorder="1" applyAlignment="1">
      <alignment horizontal="centerContinuous" vertical="center"/>
    </xf>
    <xf numFmtId="176" fontId="4" fillId="2" borderId="2" xfId="0" applyNumberFormat="1" applyFont="1" applyFill="1" applyBorder="1" applyAlignment="1">
      <alignment horizontal="centerContinuous" vertical="center"/>
    </xf>
    <xf numFmtId="177" fontId="4" fillId="2" borderId="2" xfId="0" applyNumberFormat="1" applyFont="1" applyFill="1" applyBorder="1" applyAlignment="1">
      <alignment horizontal="centerContinuous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Continuous" vertical="center"/>
    </xf>
    <xf numFmtId="0" fontId="5" fillId="0" borderId="0" xfId="0" applyFont="1">
      <alignment vertical="center"/>
    </xf>
    <xf numFmtId="0" fontId="6" fillId="3" borderId="4" xfId="1" applyFont="1" applyFill="1" applyBorder="1" applyAlignment="1">
      <alignment horizontal="center" vertical="center"/>
    </xf>
    <xf numFmtId="49" fontId="6" fillId="3" borderId="5" xfId="1" applyNumberFormat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176" fontId="6" fillId="4" borderId="5" xfId="1" applyNumberFormat="1" applyFont="1" applyFill="1" applyBorder="1" applyAlignment="1">
      <alignment horizontal="center" vertical="center"/>
    </xf>
    <xf numFmtId="176" fontId="6" fillId="4" borderId="5" xfId="1" applyNumberFormat="1" applyFont="1" applyFill="1" applyBorder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176" fontId="6" fillId="5" borderId="5" xfId="1" applyNumberFormat="1" applyFont="1" applyFill="1" applyBorder="1" applyAlignment="1">
      <alignment horizontal="center" vertical="center" wrapText="1"/>
    </xf>
    <xf numFmtId="176" fontId="6" fillId="6" borderId="5" xfId="1" applyNumberFormat="1" applyFont="1" applyFill="1" applyBorder="1" applyAlignment="1">
      <alignment horizontal="center" vertical="center" wrapText="1"/>
    </xf>
    <xf numFmtId="177" fontId="6" fillId="6" borderId="5" xfId="1" applyNumberFormat="1" applyFont="1" applyFill="1" applyBorder="1" applyAlignment="1">
      <alignment horizontal="center" vertical="center" wrapText="1"/>
    </xf>
    <xf numFmtId="176" fontId="6" fillId="7" borderId="5" xfId="1" applyNumberFormat="1" applyFont="1" applyFill="1" applyBorder="1" applyAlignment="1">
      <alignment horizontal="center" vertical="center" wrapText="1"/>
    </xf>
    <xf numFmtId="176" fontId="6" fillId="8" borderId="5" xfId="1" applyNumberFormat="1" applyFont="1" applyFill="1" applyBorder="1" applyAlignment="1">
      <alignment horizontal="center" vertical="center" wrapText="1"/>
    </xf>
    <xf numFmtId="177" fontId="6" fillId="9" borderId="5" xfId="1" applyNumberFormat="1" applyFont="1" applyFill="1" applyBorder="1" applyAlignment="1">
      <alignment horizontal="center" vertical="center" wrapText="1"/>
    </xf>
    <xf numFmtId="177" fontId="6" fillId="10" borderId="5" xfId="1" applyNumberFormat="1" applyFont="1" applyFill="1" applyBorder="1" applyAlignment="1">
      <alignment horizontal="center" vertical="center" wrapText="1"/>
    </xf>
    <xf numFmtId="176" fontId="6" fillId="11" borderId="5" xfId="1" applyNumberFormat="1" applyFont="1" applyFill="1" applyBorder="1" applyAlignment="1">
      <alignment horizontal="center" vertical="center" wrapText="1"/>
    </xf>
    <xf numFmtId="49" fontId="6" fillId="11" borderId="5" xfId="1" applyNumberFormat="1" applyFont="1" applyFill="1" applyBorder="1" applyAlignment="1">
      <alignment horizontal="center" vertical="center" wrapText="1"/>
    </xf>
    <xf numFmtId="176" fontId="6" fillId="10" borderId="5" xfId="1" applyNumberFormat="1" applyFont="1" applyFill="1" applyBorder="1" applyAlignment="1">
      <alignment horizontal="center" vertical="center" wrapText="1"/>
    </xf>
    <xf numFmtId="176" fontId="6" fillId="12" borderId="5" xfId="1" applyNumberFormat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left" vertical="center"/>
    </xf>
    <xf numFmtId="0" fontId="6" fillId="3" borderId="6" xfId="1" applyFont="1" applyFill="1" applyBorder="1" applyAlignment="1">
      <alignment vertical="center"/>
    </xf>
    <xf numFmtId="0" fontId="6" fillId="3" borderId="6" xfId="1" applyFont="1" applyFill="1" applyBorder="1" applyAlignment="1">
      <alignment horizontal="center" vertical="center"/>
    </xf>
    <xf numFmtId="176" fontId="6" fillId="4" borderId="6" xfId="1" applyNumberFormat="1" applyFont="1" applyFill="1" applyBorder="1" applyAlignment="1">
      <alignment vertical="center"/>
    </xf>
    <xf numFmtId="176" fontId="6" fillId="4" borderId="6" xfId="1" applyNumberFormat="1" applyFont="1" applyFill="1" applyBorder="1" applyAlignment="1">
      <alignment horizontal="right" vertical="center"/>
    </xf>
    <xf numFmtId="0" fontId="6" fillId="4" borderId="7" xfId="1" applyFont="1" applyFill="1" applyBorder="1" applyAlignment="1">
      <alignment horizontal="center" vertical="center"/>
    </xf>
    <xf numFmtId="178" fontId="6" fillId="4" borderId="7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vertical="center"/>
    </xf>
    <xf numFmtId="178" fontId="5" fillId="5" borderId="8" xfId="0" applyNumberFormat="1" applyFont="1" applyFill="1" applyBorder="1" applyAlignment="1">
      <alignment horizontal="center" vertical="center"/>
    </xf>
    <xf numFmtId="179" fontId="5" fillId="6" borderId="6" xfId="0" applyNumberFormat="1" applyFont="1" applyFill="1" applyBorder="1" applyAlignment="1">
      <alignment horizontal="center" vertical="center"/>
    </xf>
    <xf numFmtId="179" fontId="5" fillId="7" borderId="6" xfId="0" applyNumberFormat="1" applyFont="1" applyFill="1" applyBorder="1" applyAlignment="1">
      <alignment horizontal="center" vertical="center"/>
    </xf>
    <xf numFmtId="176" fontId="5" fillId="8" borderId="6" xfId="0" applyNumberFormat="1" applyFont="1" applyFill="1" applyBorder="1" applyAlignment="1">
      <alignment horizontal="center" vertical="center"/>
    </xf>
    <xf numFmtId="179" fontId="5" fillId="9" borderId="6" xfId="0" applyNumberFormat="1" applyFont="1" applyFill="1" applyBorder="1" applyAlignment="1">
      <alignment horizontal="center" vertical="center"/>
    </xf>
    <xf numFmtId="179" fontId="5" fillId="10" borderId="6" xfId="0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177" fontId="5" fillId="11" borderId="6" xfId="0" applyNumberFormat="1" applyFont="1" applyFill="1" applyBorder="1" applyAlignment="1">
      <alignment horizontal="center" vertical="center"/>
    </xf>
    <xf numFmtId="177" fontId="5" fillId="7" borderId="6" xfId="0" applyNumberFormat="1" applyFont="1" applyFill="1" applyBorder="1" applyAlignment="1">
      <alignment horizontal="right" vertical="center"/>
    </xf>
    <xf numFmtId="179" fontId="5" fillId="10" borderId="6" xfId="0" applyNumberFormat="1" applyFont="1" applyFill="1" applyBorder="1" applyAlignment="1">
      <alignment horizontal="right" vertical="center"/>
    </xf>
    <xf numFmtId="177" fontId="5" fillId="7" borderId="6" xfId="0" applyNumberFormat="1" applyFont="1" applyFill="1" applyBorder="1">
      <alignment vertical="center"/>
    </xf>
    <xf numFmtId="179" fontId="5" fillId="12" borderId="6" xfId="0" applyNumberFormat="1" applyFont="1" applyFill="1" applyBorder="1" applyAlignment="1">
      <alignment horizontal="right" vertical="center"/>
    </xf>
    <xf numFmtId="179" fontId="5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  <xf numFmtId="176" fontId="9" fillId="4" borderId="6" xfId="1" applyNumberFormat="1" applyFont="1" applyFill="1" applyBorder="1" applyAlignment="1">
      <alignment vertical="center"/>
    </xf>
  </cellXfs>
  <cellStyles count="2">
    <cellStyle name="一般" xfId="0" builtinId="0"/>
    <cellStyle name="一般 2" xfId="1" xr:uid="{3F0BA092-5DF9-4D8C-9F18-B54219B7D4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1627-9F93-435A-8123-D4D799CD15E6}">
  <dimension ref="A1:AR7"/>
  <sheetViews>
    <sheetView tabSelected="1" workbookViewId="0">
      <selection activeCell="E14" sqref="E14"/>
    </sheetView>
  </sheetViews>
  <sheetFormatPr defaultRowHeight="17"/>
  <sheetData>
    <row r="1" spans="1:44" s="8" customFormat="1" ht="67.5" customHeight="1" thickBo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3"/>
      <c r="S1" s="3"/>
      <c r="T1" s="3"/>
      <c r="U1" s="3"/>
      <c r="V1" s="3"/>
      <c r="W1" s="4"/>
      <c r="X1" s="4"/>
      <c r="Y1" s="4"/>
      <c r="Z1" s="4"/>
      <c r="AA1" s="4"/>
      <c r="AB1" s="4"/>
      <c r="AC1" s="3"/>
      <c r="AD1" s="3"/>
      <c r="AE1" s="3"/>
      <c r="AF1" s="3"/>
      <c r="AG1" s="3"/>
      <c r="AH1" s="3"/>
      <c r="AI1" s="5"/>
      <c r="AJ1" s="3"/>
      <c r="AK1" s="3"/>
      <c r="AL1" s="6"/>
      <c r="AM1" s="3"/>
      <c r="AN1" s="3"/>
      <c r="AO1" s="3"/>
      <c r="AP1" s="3"/>
      <c r="AQ1" s="3"/>
      <c r="AR1" s="7"/>
    </row>
    <row r="2" spans="1:44" s="8" customFormat="1" ht="47" thickBot="1">
      <c r="A2" s="9" t="s">
        <v>1</v>
      </c>
      <c r="B2" s="10" t="s">
        <v>2</v>
      </c>
      <c r="C2" s="10" t="s">
        <v>3</v>
      </c>
      <c r="D2" s="10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2" t="s">
        <v>11</v>
      </c>
      <c r="L2" s="13" t="s">
        <v>12</v>
      </c>
      <c r="M2" s="12" t="s">
        <v>13</v>
      </c>
      <c r="N2" s="13" t="s">
        <v>14</v>
      </c>
      <c r="O2" s="13" t="s">
        <v>15</v>
      </c>
      <c r="P2" s="14"/>
      <c r="Q2" s="15" t="s">
        <v>16</v>
      </c>
      <c r="R2" s="16" t="s">
        <v>17</v>
      </c>
      <c r="S2" s="17" t="s">
        <v>18</v>
      </c>
      <c r="T2" s="18" t="s">
        <v>19</v>
      </c>
      <c r="U2" s="19" t="s">
        <v>20</v>
      </c>
      <c r="V2" s="20" t="s">
        <v>21</v>
      </c>
      <c r="W2" s="20" t="s">
        <v>22</v>
      </c>
      <c r="X2" s="20" t="s">
        <v>23</v>
      </c>
      <c r="Y2" s="20" t="s">
        <v>24</v>
      </c>
      <c r="Z2" s="20" t="s">
        <v>25</v>
      </c>
      <c r="AA2" s="20" t="s">
        <v>26</v>
      </c>
      <c r="AB2" s="21" t="s">
        <v>27</v>
      </c>
      <c r="AC2" s="22" t="s">
        <v>28</v>
      </c>
      <c r="AD2" s="22" t="s">
        <v>29</v>
      </c>
      <c r="AE2" s="22" t="s">
        <v>30</v>
      </c>
      <c r="AF2" s="22" t="s">
        <v>31</v>
      </c>
      <c r="AG2" s="22" t="s">
        <v>32</v>
      </c>
      <c r="AH2" s="22" t="s">
        <v>33</v>
      </c>
      <c r="AI2" s="23" t="s">
        <v>34</v>
      </c>
      <c r="AJ2" s="18" t="s">
        <v>35</v>
      </c>
      <c r="AK2" s="24" t="s">
        <v>36</v>
      </c>
      <c r="AL2" s="24" t="s">
        <v>37</v>
      </c>
      <c r="AM2" s="18" t="s">
        <v>38</v>
      </c>
      <c r="AN2" s="25" t="s">
        <v>39</v>
      </c>
      <c r="AO2" s="25" t="s">
        <v>40</v>
      </c>
      <c r="AP2" s="25" t="s">
        <v>41</v>
      </c>
    </row>
    <row r="3" spans="1:44" s="8" customFormat="1" ht="16" thickTop="1">
      <c r="A3" s="26" t="s">
        <v>42</v>
      </c>
      <c r="B3" s="26"/>
      <c r="C3" s="26"/>
      <c r="D3" s="26"/>
      <c r="E3" s="27"/>
      <c r="F3" s="28"/>
      <c r="G3" s="28"/>
      <c r="H3" s="28"/>
      <c r="I3" s="28"/>
      <c r="J3" s="28"/>
      <c r="K3" s="29">
        <v>8.77</v>
      </c>
      <c r="L3" s="30">
        <f t="shared" ref="L3" si="0">K3*5</f>
        <v>43.849999999999994</v>
      </c>
      <c r="M3" s="30">
        <f t="shared" ref="M3" si="1">L3</f>
        <v>43.849999999999994</v>
      </c>
      <c r="N3" s="31">
        <v>1</v>
      </c>
      <c r="O3" s="32">
        <f t="shared" ref="O3" si="2">M3*N3</f>
        <v>43.849999999999994</v>
      </c>
      <c r="P3" s="33"/>
      <c r="Q3" s="34">
        <v>5.12</v>
      </c>
      <c r="R3" s="35">
        <v>10</v>
      </c>
      <c r="S3" s="35">
        <f>M3+R3</f>
        <v>53.849999999999994</v>
      </c>
      <c r="T3" s="36">
        <f>S3*Q3</f>
        <v>275.71199999999999</v>
      </c>
      <c r="U3" s="37">
        <f>(T3-S3)/T3</f>
        <v>0.8046875</v>
      </c>
      <c r="V3" s="38">
        <v>50</v>
      </c>
      <c r="W3" s="38">
        <v>60</v>
      </c>
      <c r="X3" s="38">
        <v>15</v>
      </c>
      <c r="Y3" s="38">
        <v>30</v>
      </c>
      <c r="Z3" s="38">
        <v>100</v>
      </c>
      <c r="AA3" s="38">
        <v>100</v>
      </c>
      <c r="AB3" s="39">
        <f>T3+V3+W3+X3+Y3+Z3+AA3</f>
        <v>630.71199999999999</v>
      </c>
      <c r="AC3" s="40">
        <v>0.02</v>
      </c>
      <c r="AD3" s="40">
        <v>0.02</v>
      </c>
      <c r="AE3" s="40">
        <v>0.03</v>
      </c>
      <c r="AF3" s="40">
        <v>0.03</v>
      </c>
      <c r="AG3" s="40">
        <v>0.05</v>
      </c>
      <c r="AH3" s="40">
        <v>0.5</v>
      </c>
      <c r="AI3" s="41">
        <f>(AB3*(AC3+AD3+AE3+AF3+AG3))</f>
        <v>94.606800000000007</v>
      </c>
      <c r="AJ3" s="42">
        <f>AB3/(1-AC3-AD3-AE3-AF3-AG3)</f>
        <v>742.01411764705892</v>
      </c>
      <c r="AK3" s="43">
        <f>ROUNDUP(AJ3, -1)</f>
        <v>750</v>
      </c>
      <c r="AL3" s="39">
        <f>(AK3*(AC3+AD3+AE3+AF3+AG3))</f>
        <v>112.50000000000001</v>
      </c>
      <c r="AM3" s="44">
        <f>AB3/(1-AH3)</f>
        <v>1261.424</v>
      </c>
      <c r="AN3" s="45">
        <f>AJ3-S3</f>
        <v>688.1641176470589</v>
      </c>
      <c r="AO3" s="45">
        <f>AJ3-AB3</f>
        <v>111.30211764705894</v>
      </c>
      <c r="AP3" s="45">
        <f>AJ3-AI3-AA3-Z3-Y3-X3-W3-V3-S3</f>
        <v>238.55731764705891</v>
      </c>
      <c r="AQ3" s="46">
        <f>AB3-AA3-Z3-Y3-X3-W3-V3-S3</f>
        <v>221.86199999999999</v>
      </c>
      <c r="AR3" s="47">
        <f>AJ3-T3</f>
        <v>466.30211764705894</v>
      </c>
    </row>
    <row r="4" spans="1:44">
      <c r="K4" s="8"/>
      <c r="R4" s="48"/>
      <c r="S4" s="48"/>
      <c r="T4" s="48"/>
      <c r="U4" s="49"/>
      <c r="W4" s="50"/>
      <c r="X4" s="50"/>
      <c r="Y4" s="50"/>
      <c r="Z4" s="50"/>
      <c r="AA4" s="50"/>
      <c r="AB4" s="50"/>
      <c r="AI4" s="49"/>
      <c r="AL4" s="48"/>
    </row>
    <row r="5" spans="1:44" s="8" customFormat="1" ht="15.5">
      <c r="A5" s="26" t="s">
        <v>42</v>
      </c>
      <c r="B5" s="26"/>
      <c r="C5" s="26"/>
      <c r="D5" s="26"/>
      <c r="E5" s="27"/>
      <c r="F5" s="28"/>
      <c r="G5" s="28"/>
      <c r="H5" s="28"/>
      <c r="I5" s="28"/>
      <c r="J5" s="28"/>
      <c r="K5" s="29">
        <v>8.77</v>
      </c>
      <c r="L5" s="30">
        <f t="shared" ref="L5" si="3">K5*5</f>
        <v>43.849999999999994</v>
      </c>
      <c r="M5" s="30">
        <f t="shared" ref="M5" si="4">L5</f>
        <v>43.849999999999994</v>
      </c>
      <c r="N5" s="31">
        <v>1</v>
      </c>
      <c r="O5" s="32">
        <f t="shared" ref="O5" si="5">M5*N5</f>
        <v>43.849999999999994</v>
      </c>
      <c r="P5" s="33"/>
      <c r="Q5" s="34">
        <v>5.12</v>
      </c>
      <c r="R5" s="35">
        <v>10</v>
      </c>
      <c r="S5" s="35">
        <f>M5+R5</f>
        <v>53.849999999999994</v>
      </c>
      <c r="T5" s="36">
        <f>S5*Q5</f>
        <v>275.71199999999999</v>
      </c>
      <c r="U5" s="37">
        <f>(T5-S5)/T5</f>
        <v>0.8046875</v>
      </c>
      <c r="V5" s="38">
        <v>50</v>
      </c>
      <c r="W5" s="38">
        <v>60</v>
      </c>
      <c r="X5" s="38">
        <v>15</v>
      </c>
      <c r="Y5" s="38">
        <v>30</v>
      </c>
      <c r="Z5" s="38">
        <v>100</v>
      </c>
      <c r="AA5" s="38">
        <v>50</v>
      </c>
      <c r="AB5" s="39">
        <f>T5+V5+W5+X5+Y5+Z5+AA5</f>
        <v>580.71199999999999</v>
      </c>
      <c r="AC5" s="40">
        <v>0.02</v>
      </c>
      <c r="AD5" s="40">
        <v>0.02</v>
      </c>
      <c r="AE5" s="40">
        <v>0.03</v>
      </c>
      <c r="AF5" s="40">
        <v>0.03</v>
      </c>
      <c r="AG5" s="40">
        <v>0.05</v>
      </c>
      <c r="AH5" s="40">
        <v>0.5</v>
      </c>
      <c r="AI5" s="41">
        <f>(AB5*(AC5+AD5+AE5+AF5+AG5))</f>
        <v>87.106800000000007</v>
      </c>
      <c r="AJ5" s="42">
        <f>AB5/(1-AC5-AD5-AE5-AF5-AG5)</f>
        <v>683.19058823529417</v>
      </c>
      <c r="AK5" s="43">
        <f>ROUNDUP(AJ5, -1)</f>
        <v>690</v>
      </c>
      <c r="AL5" s="39">
        <f>(AK5*(AC5+AD5+AE5+AF5+AG5))</f>
        <v>103.50000000000001</v>
      </c>
      <c r="AM5" s="44">
        <f>AB5/(1-AH5)</f>
        <v>1161.424</v>
      </c>
      <c r="AN5" s="45">
        <f>AJ5-S5</f>
        <v>629.34058823529415</v>
      </c>
      <c r="AO5" s="45">
        <f>AJ5-AB5</f>
        <v>102.47858823529418</v>
      </c>
      <c r="AP5" s="45">
        <f>AJ5-AI5-AA5-Z5-Y5-X5-W5-V5-S5</f>
        <v>237.23378823529416</v>
      </c>
      <c r="AQ5" s="46">
        <f>AB5-AA5-Z5-Y5-X5-W5-V5-S5</f>
        <v>221.86199999999999</v>
      </c>
      <c r="AR5" s="47">
        <f>AJ5-T5</f>
        <v>407.47858823529418</v>
      </c>
    </row>
    <row r="6" spans="1:44">
      <c r="K6" s="8"/>
      <c r="R6" s="48"/>
      <c r="S6" s="48"/>
      <c r="T6" s="48"/>
      <c r="U6" s="49"/>
      <c r="W6" s="50"/>
      <c r="X6" s="50"/>
      <c r="Y6" s="50"/>
      <c r="Z6" s="50"/>
      <c r="AA6" s="50"/>
      <c r="AB6" s="50"/>
      <c r="AI6" s="49"/>
      <c r="AL6" s="48"/>
    </row>
    <row r="7" spans="1:44" s="8" customFormat="1" ht="15.5">
      <c r="A7" s="26" t="s">
        <v>42</v>
      </c>
      <c r="B7" s="26"/>
      <c r="C7" s="26"/>
      <c r="D7" s="26"/>
      <c r="E7" s="27"/>
      <c r="F7" s="28"/>
      <c r="G7" s="28"/>
      <c r="H7" s="28"/>
      <c r="I7" s="28"/>
      <c r="J7" s="28"/>
      <c r="K7" s="51">
        <v>16.399999999999999</v>
      </c>
      <c r="L7" s="30">
        <f t="shared" ref="L7" si="6">K7*5</f>
        <v>82</v>
      </c>
      <c r="M7" s="30">
        <f t="shared" ref="M7" si="7">L7</f>
        <v>82</v>
      </c>
      <c r="N7" s="31">
        <v>1</v>
      </c>
      <c r="O7" s="32">
        <f t="shared" ref="O7" si="8">M7*N7</f>
        <v>82</v>
      </c>
      <c r="P7" s="33"/>
      <c r="Q7" s="34">
        <v>5.12</v>
      </c>
      <c r="R7" s="35">
        <v>10</v>
      </c>
      <c r="S7" s="35">
        <f>M7+R7</f>
        <v>92</v>
      </c>
      <c r="T7" s="36">
        <f>S7*Q7</f>
        <v>471.04</v>
      </c>
      <c r="U7" s="37">
        <f>(T7-S7)/T7</f>
        <v>0.8046875</v>
      </c>
      <c r="V7" s="38">
        <v>50</v>
      </c>
      <c r="W7" s="38">
        <v>60</v>
      </c>
      <c r="X7" s="38">
        <v>15</v>
      </c>
      <c r="Y7" s="38">
        <v>30</v>
      </c>
      <c r="Z7" s="38">
        <v>100</v>
      </c>
      <c r="AA7" s="38">
        <v>0</v>
      </c>
      <c r="AB7" s="39">
        <f>T7+V7+W7+X7+Y7+Z7+AA7</f>
        <v>726.04</v>
      </c>
      <c r="AC7" s="40">
        <v>0.02</v>
      </c>
      <c r="AD7" s="40">
        <v>0.02</v>
      </c>
      <c r="AE7" s="40">
        <v>0.03</v>
      </c>
      <c r="AF7" s="40">
        <v>0.03</v>
      </c>
      <c r="AG7" s="40">
        <v>0.05</v>
      </c>
      <c r="AH7" s="40">
        <v>0.5</v>
      </c>
      <c r="AI7" s="41">
        <f>(AB7*(AC7+AD7+AE7+AF7+AG7))</f>
        <v>108.90600000000001</v>
      </c>
      <c r="AJ7" s="42">
        <f>AB7/(1-AC7-AD7-AE7-AF7-AG7)</f>
        <v>854.16470588235302</v>
      </c>
      <c r="AK7" s="43">
        <f>ROUNDUP(AJ7, -1)</f>
        <v>860</v>
      </c>
      <c r="AL7" s="39">
        <f>(AK7*(AC7+AD7+AE7+AF7+AG7))</f>
        <v>129.00000000000003</v>
      </c>
      <c r="AM7" s="44">
        <f>AB7/(1-AH7)</f>
        <v>1452.08</v>
      </c>
      <c r="AN7" s="45">
        <f>AJ7-S7</f>
        <v>762.16470588235302</v>
      </c>
      <c r="AO7" s="45">
        <f>AJ7-AB7</f>
        <v>128.12470588235306</v>
      </c>
      <c r="AP7" s="45">
        <f>AJ7-AI7-AA7-Z7-Y7-X7-W7-V7-S7</f>
        <v>398.25870588235307</v>
      </c>
      <c r="AQ7" s="46">
        <f>AB7-AA7-Z7-Y7-X7-W7-V7-S7</f>
        <v>379.03999999999996</v>
      </c>
      <c r="AR7" s="47">
        <f>AJ7-T7</f>
        <v>383.124705882353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</dc:creator>
  <cp:lastModifiedBy>yun</cp:lastModifiedBy>
  <dcterms:created xsi:type="dcterms:W3CDTF">2026-07-08T06:30:00Z</dcterms:created>
  <dcterms:modified xsi:type="dcterms:W3CDTF">2026-07-08T06:36:00Z</dcterms:modified>
</cp:coreProperties>
</file>